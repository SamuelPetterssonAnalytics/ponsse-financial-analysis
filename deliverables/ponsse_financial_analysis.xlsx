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16"/>
  <workbookPr/>
  <xr:revisionPtr revIDLastSave="623" documentId="11_914C9EB861CDBD13C4F03A76B8EE744768FBA957" xr6:coauthVersionLast="47" xr6:coauthVersionMax="47" xr10:uidLastSave="{DC7382D3-FDA5-4268-9889-1A8D7D55725A}"/>
  <bookViews>
    <workbookView xWindow="0" yWindow="0" windowWidth="25200" windowHeight="11985" xr2:uid="{00000000-000D-0000-FFFF-FFFF00000000}"/>
  </bookViews>
  <sheets>
    <sheet name="Analysis" sheetId="5" r:id="rId1"/>
    <sheet name="Source Data" sheetId="2" r:id="rId2"/>
    <sheet name="Calculations" sheetId="4" r:id="rId3"/>
    <sheet name="Sources"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 i="5" l="1"/>
  <c r="E31" i="5"/>
  <c r="D31" i="5"/>
  <c r="C31" i="5"/>
  <c r="B31" i="5"/>
  <c r="F30" i="5"/>
  <c r="E30" i="5"/>
  <c r="D30" i="5"/>
  <c r="C30" i="5"/>
  <c r="B30" i="5"/>
  <c r="F29" i="5"/>
  <c r="E29" i="5"/>
  <c r="D29" i="5"/>
  <c r="C29" i="5"/>
  <c r="B29" i="5"/>
  <c r="F28" i="5"/>
  <c r="E28" i="5"/>
  <c r="D28" i="5"/>
  <c r="C28" i="5"/>
  <c r="B28" i="5"/>
  <c r="W6" i="5"/>
  <c r="W5" i="5"/>
  <c r="W4" i="5"/>
  <c r="W3" i="5"/>
  <c r="W2" i="5"/>
  <c r="V6" i="5"/>
  <c r="V5" i="5"/>
  <c r="V4" i="5"/>
  <c r="V3" i="5"/>
  <c r="V2" i="5"/>
  <c r="S6" i="5"/>
  <c r="S5" i="5"/>
  <c r="S4" i="5"/>
  <c r="S3" i="5"/>
  <c r="S2" i="5"/>
  <c r="P6" i="5"/>
  <c r="P5" i="5"/>
  <c r="P4" i="5"/>
  <c r="P3" i="5"/>
  <c r="P2" i="5"/>
  <c r="C13" i="4"/>
  <c r="D9" i="4"/>
  <c r="E9" i="4"/>
  <c r="F9" i="4"/>
  <c r="G9" i="4"/>
  <c r="C9" i="4"/>
  <c r="D8" i="4"/>
  <c r="E8" i="4"/>
  <c r="F8" i="4"/>
  <c r="G8" i="4"/>
  <c r="C8" i="4"/>
  <c r="D5" i="4"/>
  <c r="E5" i="4"/>
  <c r="F5" i="4"/>
  <c r="G5" i="4"/>
  <c r="C5" i="4"/>
  <c r="D4" i="4"/>
  <c r="E4" i="4"/>
  <c r="F4" i="4"/>
  <c r="G4" i="4"/>
  <c r="C4" i="4"/>
  <c r="D3" i="4"/>
  <c r="E3" i="4"/>
  <c r="F3" i="4"/>
  <c r="G3" i="4"/>
  <c r="C3" i="4"/>
  <c r="E2" i="4"/>
  <c r="F2" i="4"/>
  <c r="G2" i="4"/>
  <c r="D2" i="4"/>
  <c r="C10" i="4" l="1"/>
  <c r="C6" i="4"/>
  <c r="C7" i="4" s="1"/>
  <c r="G10" i="4"/>
  <c r="G6" i="4"/>
  <c r="G7" i="4" s="1"/>
  <c r="F10" i="4"/>
  <c r="F6" i="4"/>
  <c r="F7" i="4" s="1"/>
  <c r="E10" i="4"/>
  <c r="E6" i="4"/>
  <c r="E7" i="4" s="1"/>
  <c r="D10" i="4"/>
  <c r="D6" i="4"/>
  <c r="D7" i="4" s="1"/>
</calcChain>
</file>

<file path=xl/sharedStrings.xml><?xml version="1.0" encoding="utf-8"?>
<sst xmlns="http://schemas.openxmlformats.org/spreadsheetml/2006/main" count="140" uniqueCount="65">
  <si>
    <t>Year</t>
  </si>
  <si>
    <t>Revenue</t>
  </si>
  <si>
    <t>EBIT margin</t>
  </si>
  <si>
    <t>Operating cash flow (€m)</t>
  </si>
  <si>
    <t>Simplified FCF (€m)</t>
  </si>
  <si>
    <t>2021</t>
  </si>
  <si>
    <t>2022</t>
  </si>
  <si>
    <t>2023</t>
  </si>
  <si>
    <t>2024</t>
  </si>
  <si>
    <t>2025</t>
  </si>
  <si>
    <t>Metric</t>
  </si>
  <si>
    <t>Net debt (€m)</t>
  </si>
  <si>
    <t>Net gearing</t>
  </si>
  <si>
    <t>Inventory / Revenue</t>
  </si>
  <si>
    <t>Current debt / Total debt</t>
  </si>
  <si>
    <t>KEY FINDINGS</t>
  </si>
  <si>
    <t>Question 1</t>
  </si>
  <si>
    <t>What drove growth in 2023 (highest revenue between 2021-2025)</t>
  </si>
  <si>
    <t>Question 2</t>
  </si>
  <si>
    <t>Why did revenue and EBIT decline in 2024</t>
  </si>
  <si>
    <t>Question 3</t>
  </si>
  <si>
    <t>Why did profitability improve in 2025 while revenue stayed almost flat, but operating cash flow fell sharply</t>
  </si>
  <si>
    <t>Question 4</t>
  </si>
  <si>
    <t>How did Ponsse’s balance-sheet and cash position change over 2021–2025</t>
  </si>
  <si>
    <t>Unit</t>
  </si>
  <si>
    <t>Notes</t>
  </si>
  <si>
    <t>€000</t>
  </si>
  <si>
    <t>2021 continuing-operations comparative from 2022 report. Russian discontinued operations excluded.</t>
  </si>
  <si>
    <t>EBIT</t>
  </si>
  <si>
    <t>Russia removed from 2021 and 2022</t>
  </si>
  <si>
    <t>Operating Cash Flow</t>
  </si>
  <si>
    <t>Capital Expenditure</t>
  </si>
  <si>
    <t>Inventories</t>
  </si>
  <si>
    <t>Cash &amp; cash equivalents</t>
  </si>
  <si>
    <t>Non-current interest-bearing liabilities</t>
  </si>
  <si>
    <t>Current interest-bearing liabilities</t>
  </si>
  <si>
    <t>Equity</t>
  </si>
  <si>
    <t>Revenue growth</t>
  </si>
  <si>
    <t>%</t>
  </si>
  <si>
    <t>Free cash flow</t>
  </si>
  <si>
    <t>Total debt</t>
  </si>
  <si>
    <t>Net debt</t>
  </si>
  <si>
    <t>CapEx / Revenue</t>
  </si>
  <si>
    <t>Current / Total Debt</t>
  </si>
  <si>
    <t>Result</t>
  </si>
  <si>
    <t>Revenue CAGR 2021-2025</t>
  </si>
  <si>
    <t>Report</t>
  </si>
  <si>
    <t>Statement</t>
  </si>
  <si>
    <t>Page</t>
  </si>
  <si>
    <t>Figures Used</t>
  </si>
  <si>
    <t>Ponsse Annual Report 2022</t>
  </si>
  <si>
    <t>Statement of comprehensive income</t>
  </si>
  <si>
    <t>Revenue, EBIT</t>
  </si>
  <si>
    <t>2021 restated to continuing operations. Russian discontinued operations excluded</t>
  </si>
  <si>
    <t>Ponsse Annual Report 2021</t>
  </si>
  <si>
    <t>Cash flow statement</t>
  </si>
  <si>
    <t>OCF, CapEx</t>
  </si>
  <si>
    <t>Statement of financial position</t>
  </si>
  <si>
    <t>Inventory, cash, debt, equity</t>
  </si>
  <si>
    <t>Ponsse Annual Report 2023</t>
  </si>
  <si>
    <t>Statement of changes in equity</t>
  </si>
  <si>
    <t>Corrected opening 2023 equity</t>
  </si>
  <si>
    <t>2022 year-end equity originally 321,813. Corrected opening 2023 equity 316,851</t>
  </si>
  <si>
    <t>Ponsse Annual Report 2024</t>
  </si>
  <si>
    <t>Ponsse Annual Report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</si>
</sst>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
    <font>
      <sz val="11"/>
      <color theme="1"/>
      <name val="Calibri"/>
      <family val="2"/>
      <charset val="204"/>
      <scheme val="minor"/>
    </font>
    <font>
      <b/>
      <sz val="11"/>
      <color theme="1"/>
      <name val="Calibri"/>
      <family val="2"/>
      <charset val="204"/>
      <scheme val="minor"/>
    </font>
    <font>
      <b/>
      <i/>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3" fontId="0" fillId="0" borderId="0" xfId="0" applyNumberFormat="1"/>
    <xf numFmtId="0" fontId="0" fillId="0" borderId="0" xfId="0" applyFont="1"/>
    <xf numFmtId="10" fontId="0" fillId="0" borderId="0" xfId="0" applyNumberFormat="1"/>
    <xf numFmtId="164" fontId="0" fillId="0" borderId="0" xfId="0" applyNumberFormat="1"/>
    <xf numFmtId="165" fontId="0" fillId="0" borderId="0" xfId="0" applyNumberFormat="1"/>
    <xf numFmtId="0" fontId="0" fillId="0" borderId="0" xfId="0" quotePrefix="1"/>
    <xf numFmtId="10" fontId="0" fillId="0" borderId="0" xfId="0" applyNumberFormat="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Cash generation (€m)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Analysis!$V$1</c:f>
              <c:strCache>
                <c:ptCount val="1"/>
                <c:pt idx="0">
                  <c:v>Operating cash flow (€m)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Analysis!$U$2:$U$6</c:f>
              <c:strCache>
                <c:ptCount val="5"/>
                <c:pt idx="0">
                  <c:v>2021</c:v>
                </c:pt>
                <c:pt idx="1">
                  <c:v>2022</c:v>
                </c:pt>
                <c:pt idx="2">
                  <c:v>2023</c:v>
                </c:pt>
                <c:pt idx="3">
                  <c:v>2024</c:v>
                </c:pt>
                <c:pt idx="4">
                  <c:v>2025</c:v>
                </c:pt>
              </c:strCache>
            </c:strRef>
          </c:cat>
          <c:val>
            <c:numRef>
              <c:f>Analysis!$V$2:$V$6</c:f>
              <c:numCache>
                <c:formatCode>0.0</c:formatCode>
                <c:ptCount val="5"/>
                <c:pt idx="0">
                  <c:v>102.429</c:v>
                </c:pt>
                <c:pt idx="1">
                  <c:v>-17.945</c:v>
                </c:pt>
                <c:pt idx="2">
                  <c:v>30.390999999999998</c:v>
                </c:pt>
                <c:pt idx="3">
                  <c:v>85.001000000000005</c:v>
                </c:pt>
                <c:pt idx="4">
                  <c:v>23.276</c:v>
                </c:pt>
              </c:numCache>
            </c:numRef>
          </c:val>
          <c:extLst>
            <c:ext xmlns:c16="http://schemas.microsoft.com/office/drawing/2014/chart" uri="{C3380CC4-5D6E-409C-BE32-E72D297353CC}">
              <c16:uniqueId val="{00000002-05E3-43C7-AA6E-03AFA7E80131}"/>
            </c:ext>
          </c:extLst>
        </c:ser>
        <c:ser>
          <c:idx val="2"/>
          <c:order val="1"/>
          <c:tx>
            <c:strRef>
              <c:f>Analysis!$W$1</c:f>
              <c:strCache>
                <c:ptCount val="1"/>
                <c:pt idx="0">
                  <c:v>Simplified FCF (€m)</c:v>
                </c:pt>
              </c:strCache>
            </c:strRef>
          </c:tx>
          <c:spPr>
            <a:solidFill>
              <a:srgbClr val="2F75B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Analysis!$U$2:$U$6</c:f>
              <c:strCache>
                <c:ptCount val="5"/>
                <c:pt idx="0">
                  <c:v>2021</c:v>
                </c:pt>
                <c:pt idx="1">
                  <c:v>2022</c:v>
                </c:pt>
                <c:pt idx="2">
                  <c:v>2023</c:v>
                </c:pt>
                <c:pt idx="3">
                  <c:v>2024</c:v>
                </c:pt>
                <c:pt idx="4">
                  <c:v>2025</c:v>
                </c:pt>
              </c:strCache>
            </c:strRef>
          </c:cat>
          <c:val>
            <c:numRef>
              <c:f>Analysis!$W$2:$W$6</c:f>
              <c:numCache>
                <c:formatCode>0.0</c:formatCode>
                <c:ptCount val="5"/>
                <c:pt idx="0">
                  <c:v>77.572999999999993</c:v>
                </c:pt>
                <c:pt idx="1">
                  <c:v>-59.862000000000002</c:v>
                </c:pt>
                <c:pt idx="2">
                  <c:v>-5.5010000000000003</c:v>
                </c:pt>
                <c:pt idx="3">
                  <c:v>63.41</c:v>
                </c:pt>
                <c:pt idx="4">
                  <c:v>0.59799999999999998</c:v>
                </c:pt>
              </c:numCache>
            </c:numRef>
          </c:val>
          <c:extLst>
            <c:ext xmlns:c16="http://schemas.microsoft.com/office/drawing/2014/chart" uri="{C3380CC4-5D6E-409C-BE32-E72D297353CC}">
              <c16:uniqueId val="{00000004-05E3-43C7-AA6E-03AFA7E80131}"/>
            </c:ext>
          </c:extLst>
        </c:ser>
        <c:dLbls>
          <c:showLegendKey val="0"/>
          <c:showVal val="0"/>
          <c:showCatName val="0"/>
          <c:showSerName val="0"/>
          <c:showPercent val="0"/>
          <c:showBubbleSize val="0"/>
        </c:dLbls>
        <c:gapWidth val="219"/>
        <c:overlap val="-27"/>
        <c:axId val="10111496"/>
        <c:axId val="10121736"/>
      </c:barChart>
      <c:catAx>
        <c:axId val="10111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1736"/>
        <c:crosses val="autoZero"/>
        <c:auto val="1"/>
        <c:lblAlgn val="ctr"/>
        <c:lblOffset val="100"/>
        <c:noMultiLvlLbl val="0"/>
      </c:catAx>
      <c:valAx>
        <c:axId val="101217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111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Analysis!$P$1</c:f>
              <c:strCache>
                <c:ptCount val="1"/>
                <c:pt idx="0">
                  <c:v>Revenue</c:v>
                </c:pt>
              </c:strCache>
            </c:strRef>
          </c:tx>
          <c:spPr>
            <a:ln w="28575" cap="rnd">
              <a:solidFill>
                <a:srgbClr val="0070C0"/>
              </a:solidFill>
              <a:prstDash val="solid"/>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Analysis!$O$2:$O$6</c:f>
              <c:strCache>
                <c:ptCount val="5"/>
                <c:pt idx="0">
                  <c:v>2021</c:v>
                </c:pt>
                <c:pt idx="1">
                  <c:v>2022</c:v>
                </c:pt>
                <c:pt idx="2">
                  <c:v>2023</c:v>
                </c:pt>
                <c:pt idx="3">
                  <c:v>2024</c:v>
                </c:pt>
                <c:pt idx="4">
                  <c:v>2025</c:v>
                </c:pt>
              </c:strCache>
            </c:strRef>
          </c:cat>
          <c:val>
            <c:numRef>
              <c:f>Analysis!$P$2:$P$6</c:f>
              <c:numCache>
                <c:formatCode>0.0</c:formatCode>
                <c:ptCount val="5"/>
                <c:pt idx="0">
                  <c:v>608.27099999999996</c:v>
                </c:pt>
                <c:pt idx="1">
                  <c:v>755.12300000000005</c:v>
                </c:pt>
                <c:pt idx="2">
                  <c:v>821.8</c:v>
                </c:pt>
                <c:pt idx="3">
                  <c:v>750.42700000000002</c:v>
                </c:pt>
                <c:pt idx="4">
                  <c:v>749.87400000000002</c:v>
                </c:pt>
              </c:numCache>
            </c:numRef>
          </c:val>
          <c:smooth val="0"/>
          <c:extLst>
            <c:ext xmlns:c16="http://schemas.microsoft.com/office/drawing/2014/chart" uri="{C3380CC4-5D6E-409C-BE32-E72D297353CC}">
              <c16:uniqueId val="{00000000-1FC8-4E00-A033-5E93D1798C2E}"/>
            </c:ext>
          </c:extLst>
        </c:ser>
        <c:dLbls>
          <c:showLegendKey val="0"/>
          <c:showVal val="0"/>
          <c:showCatName val="0"/>
          <c:showSerName val="0"/>
          <c:showPercent val="0"/>
          <c:showBubbleSize val="0"/>
        </c:dLbls>
        <c:smooth val="0"/>
        <c:axId val="1834140680"/>
        <c:axId val="1834142728"/>
      </c:lineChart>
      <c:catAx>
        <c:axId val="1834140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34142728"/>
        <c:crosses val="autoZero"/>
        <c:auto val="1"/>
        <c:lblAlgn val="ctr"/>
        <c:lblOffset val="100"/>
        <c:noMultiLvlLbl val="0"/>
      </c:catAx>
      <c:valAx>
        <c:axId val="183414272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341406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EBIT margin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Analysis!$S$1</c:f>
              <c:strCache>
                <c:ptCount val="1"/>
                <c:pt idx="0">
                  <c:v>EBIT margin</c:v>
                </c:pt>
              </c:strCache>
            </c:strRef>
          </c:tx>
          <c:spPr>
            <a:ln w="28575" cap="rnd">
              <a:solidFill>
                <a:srgbClr val="ED7D31"/>
              </a:solidFill>
              <a:prstDash val="solid"/>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Analysis!$R$2:$R$6</c:f>
              <c:strCache>
                <c:ptCount val="5"/>
                <c:pt idx="0">
                  <c:v>2021</c:v>
                </c:pt>
                <c:pt idx="1">
                  <c:v>2022</c:v>
                </c:pt>
                <c:pt idx="2">
                  <c:v>2023</c:v>
                </c:pt>
                <c:pt idx="3">
                  <c:v>2024</c:v>
                </c:pt>
                <c:pt idx="4">
                  <c:v>2025</c:v>
                </c:pt>
              </c:strCache>
            </c:strRef>
          </c:cat>
          <c:val>
            <c:numRef>
              <c:f>Analysis!$S$2:$S$6</c:f>
              <c:numCache>
                <c:formatCode>0.0%</c:formatCode>
                <c:ptCount val="5"/>
                <c:pt idx="0">
                  <c:v>8.2196915519562833E-2</c:v>
                </c:pt>
                <c:pt idx="1">
                  <c:v>6.1681341980048286E-2</c:v>
                </c:pt>
                <c:pt idx="2">
                  <c:v>5.7377707471404235E-2</c:v>
                </c:pt>
                <c:pt idx="3">
                  <c:v>4.8978781413781751E-2</c:v>
                </c:pt>
                <c:pt idx="4">
                  <c:v>5.5518660468292007E-2</c:v>
                </c:pt>
              </c:numCache>
            </c:numRef>
          </c:val>
          <c:smooth val="0"/>
          <c:extLst>
            <c:ext xmlns:c16="http://schemas.microsoft.com/office/drawing/2014/chart" uri="{C3380CC4-5D6E-409C-BE32-E72D297353CC}">
              <c16:uniqueId val="{00000000-7A85-4993-9411-BA400D8A8D06}"/>
            </c:ext>
          </c:extLst>
        </c:ser>
        <c:dLbls>
          <c:showLegendKey val="0"/>
          <c:showVal val="0"/>
          <c:showCatName val="0"/>
          <c:showSerName val="0"/>
          <c:showPercent val="0"/>
          <c:showBubbleSize val="0"/>
        </c:dLbls>
        <c:smooth val="0"/>
        <c:axId val="1446700551"/>
        <c:axId val="1446702599"/>
      </c:lineChart>
      <c:catAx>
        <c:axId val="1446700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46702599"/>
        <c:crosses val="autoZero"/>
        <c:auto val="1"/>
        <c:lblAlgn val="ctr"/>
        <c:lblOffset val="100"/>
        <c:noMultiLvlLbl val="0"/>
      </c:catAx>
      <c:valAx>
        <c:axId val="14467025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467005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66675</xdr:rowOff>
    </xdr:from>
    <xdr:to>
      <xdr:col>10</xdr:col>
      <xdr:colOff>485775</xdr:colOff>
      <xdr:row>25</xdr:row>
      <xdr:rowOff>0</xdr:rowOff>
    </xdr:to>
    <xdr:graphicFrame macro="">
      <xdr:nvGraphicFramePr>
        <xdr:cNvPr id="2" name="Chart 1">
          <a:extLst>
            <a:ext uri="{FF2B5EF4-FFF2-40B4-BE49-F238E27FC236}">
              <a16:creationId xmlns:a16="http://schemas.microsoft.com/office/drawing/2014/main" id="{66B26C5E-80BC-AE32-912C-9E5A7F1FB0DE}"/>
            </a:ext>
            <a:ext uri="{147F2762-F138-4A5C-976F-8EAC2B608ADB}">
              <a16:predDERef xmlns:a16="http://schemas.microsoft.com/office/drawing/2014/main" pred="{9A2AF850-BE70-5EBC-925A-E701873F29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6</xdr:col>
      <xdr:colOff>171450</xdr:colOff>
      <xdr:row>11</xdr:row>
      <xdr:rowOff>95250</xdr:rowOff>
    </xdr:to>
    <xdr:graphicFrame macro="">
      <xdr:nvGraphicFramePr>
        <xdr:cNvPr id="3" name="Chart 2">
          <a:extLst>
            <a:ext uri="{FF2B5EF4-FFF2-40B4-BE49-F238E27FC236}">
              <a16:creationId xmlns:a16="http://schemas.microsoft.com/office/drawing/2014/main" id="{EC0B1FE8-6D8E-FBC9-1F93-4D1618A63EC6}"/>
            </a:ext>
            <a:ext uri="{147F2762-F138-4A5C-976F-8EAC2B608ADB}">
              <a16:predDERef xmlns:a16="http://schemas.microsoft.com/office/drawing/2014/main" pred="{66B26C5E-80BC-AE32-912C-9E5A7F1FB0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180975</xdr:colOff>
      <xdr:row>0</xdr:row>
      <xdr:rowOff>0</xdr:rowOff>
    </xdr:from>
    <xdr:to>
      <xdr:col>10</xdr:col>
      <xdr:colOff>495300</xdr:colOff>
      <xdr:row>11</xdr:row>
      <xdr:rowOff>104775</xdr:rowOff>
    </xdr:to>
    <xdr:graphicFrame macro="">
      <xdr:nvGraphicFramePr>
        <xdr:cNvPr id="4" name="Chart 3">
          <a:extLst>
            <a:ext uri="{FF2B5EF4-FFF2-40B4-BE49-F238E27FC236}">
              <a16:creationId xmlns:a16="http://schemas.microsoft.com/office/drawing/2014/main" id="{643AC90B-6AA9-5B60-8038-C2B1AB5B77A2}"/>
            </a:ext>
            <a:ext uri="{147F2762-F138-4A5C-976F-8EAC2B608ADB}">
              <a16:predDERef xmlns:a16="http://schemas.microsoft.com/office/drawing/2014/main" pred="{EC0B1FE8-6D8E-FBC9-1F93-4D1618A63E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35</xdr:row>
      <xdr:rowOff>0</xdr:rowOff>
    </xdr:from>
    <xdr:to>
      <xdr:col>7</xdr:col>
      <xdr:colOff>9525</xdr:colOff>
      <xdr:row>39</xdr:row>
      <xdr:rowOff>9525</xdr:rowOff>
    </xdr:to>
    <xdr:sp macro="" textlink="">
      <xdr:nvSpPr>
        <xdr:cNvPr id="5" name="TextBox 4">
          <a:extLst>
            <a:ext uri="{FF2B5EF4-FFF2-40B4-BE49-F238E27FC236}">
              <a16:creationId xmlns:a16="http://schemas.microsoft.com/office/drawing/2014/main" id="{97B35FDE-90E1-043C-5E15-DD73DF2D5292}"/>
            </a:ext>
            <a:ext uri="{147F2762-F138-4A5C-976F-8EAC2B608ADB}">
              <a16:predDERef xmlns:a16="http://schemas.microsoft.com/office/drawing/2014/main" pred="{643AC90B-6AA9-5B60-8038-C2B1AB5B77A2}"/>
            </a:ext>
          </a:extLst>
        </xdr:cNvPr>
        <xdr:cNvSpPr txBox="1"/>
      </xdr:nvSpPr>
      <xdr:spPr>
        <a:xfrm>
          <a:off x="0" y="6477000"/>
          <a:ext cx="5210175" cy="7715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Revenue rose 8.8% to €821.8m in 2023, supported by new-machine deliveries and maintenance services. However, EBIT margin fell from 6.2% to 5.7%, showing that higher sales did not translate proportionally into profit. Ponsse cited the loss of Russia and challenges in Brazil as profitability headwinds.</a:t>
          </a:r>
        </a:p>
      </xdr:txBody>
    </xdr:sp>
    <xdr:clientData/>
  </xdr:twoCellAnchor>
  <xdr:twoCellAnchor>
    <xdr:from>
      <xdr:col>0</xdr:col>
      <xdr:colOff>0</xdr:colOff>
      <xdr:row>41</xdr:row>
      <xdr:rowOff>0</xdr:rowOff>
    </xdr:from>
    <xdr:to>
      <xdr:col>7</xdr:col>
      <xdr:colOff>9525</xdr:colOff>
      <xdr:row>45</xdr:row>
      <xdr:rowOff>9525</xdr:rowOff>
    </xdr:to>
    <xdr:sp macro="" textlink="">
      <xdr:nvSpPr>
        <xdr:cNvPr id="6" name="TextBox 5">
          <a:extLst>
            <a:ext uri="{FF2B5EF4-FFF2-40B4-BE49-F238E27FC236}">
              <a16:creationId xmlns:a16="http://schemas.microsoft.com/office/drawing/2014/main" id="{9B5F444F-82B2-42A2-9FED-5C1F15BF6851}"/>
            </a:ext>
            <a:ext uri="{147F2762-F138-4A5C-976F-8EAC2B608ADB}">
              <a16:predDERef xmlns:a16="http://schemas.microsoft.com/office/drawing/2014/main" pred="{97B35FDE-90E1-043C-5E15-DD73DF2D5292}"/>
            </a:ext>
          </a:extLst>
        </xdr:cNvPr>
        <xdr:cNvSpPr txBox="1"/>
      </xdr:nvSpPr>
      <xdr:spPr>
        <a:xfrm>
          <a:off x="0" y="7810500"/>
          <a:ext cx="5210175" cy="77152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a:latin typeface="+mn-lt"/>
              <a:ea typeface="+mn-lt"/>
              <a:cs typeface="+mn-lt"/>
            </a:rPr>
            <a:t>Revenue fell 8.7% and EBIT margin declined to 4.9%, reflecting weak market conditions and the negative impact of the Brazilian Full Service agreement. However, operating cash flow rose from €30.4m to €85.0m as inventories and receivables released working capital, while lower investment spending also supported free cash flow.</a:t>
          </a:r>
        </a:p>
      </xdr:txBody>
    </xdr:sp>
    <xdr:clientData/>
  </xdr:twoCellAnchor>
  <xdr:twoCellAnchor>
    <xdr:from>
      <xdr:col>0</xdr:col>
      <xdr:colOff>0</xdr:colOff>
      <xdr:row>47</xdr:row>
      <xdr:rowOff>0</xdr:rowOff>
    </xdr:from>
    <xdr:to>
      <xdr:col>7</xdr:col>
      <xdr:colOff>19050</xdr:colOff>
      <xdr:row>51</xdr:row>
      <xdr:rowOff>47625</xdr:rowOff>
    </xdr:to>
    <xdr:sp macro="" textlink="">
      <xdr:nvSpPr>
        <xdr:cNvPr id="7" name="TextBox 6">
          <a:extLst>
            <a:ext uri="{FF2B5EF4-FFF2-40B4-BE49-F238E27FC236}">
              <a16:creationId xmlns:a16="http://schemas.microsoft.com/office/drawing/2014/main" id="{9E734C4C-5B95-41FC-B728-675AAACEBECD}"/>
            </a:ext>
            <a:ext uri="{147F2762-F138-4A5C-976F-8EAC2B608ADB}">
              <a16:predDERef xmlns:a16="http://schemas.microsoft.com/office/drawing/2014/main" pred="{9B5F444F-82B2-42A2-9FED-5C1F15BF6851}"/>
            </a:ext>
          </a:extLst>
        </xdr:cNvPr>
        <xdr:cNvSpPr txBox="1"/>
      </xdr:nvSpPr>
      <xdr:spPr>
        <a:xfrm>
          <a:off x="0" y="8953500"/>
          <a:ext cx="5219700" cy="80962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a:latin typeface="+mn-lt"/>
              <a:ea typeface="+mn-lt"/>
              <a:cs typeface="+mn-lt"/>
            </a:rPr>
            <a:t>Revenue remained broadly flat at €749.9m, but EBIT margin improved to 5.6% as the negative impact from the Brazilian Full Service agreement fell sharply. Operating cash flow declined to €23.3m because inventories and receivables increased, tying more cash up in working capital.</a:t>
          </a:r>
        </a:p>
      </xdr:txBody>
    </xdr:sp>
    <xdr:clientData/>
  </xdr:twoCellAnchor>
  <xdr:twoCellAnchor>
    <xdr:from>
      <xdr:col>0</xdr:col>
      <xdr:colOff>0</xdr:colOff>
      <xdr:row>53</xdr:row>
      <xdr:rowOff>0</xdr:rowOff>
    </xdr:from>
    <xdr:to>
      <xdr:col>7</xdr:col>
      <xdr:colOff>19050</xdr:colOff>
      <xdr:row>57</xdr:row>
      <xdr:rowOff>47625</xdr:rowOff>
    </xdr:to>
    <xdr:sp macro="" textlink="">
      <xdr:nvSpPr>
        <xdr:cNvPr id="9" name="TextBox 7">
          <a:extLst>
            <a:ext uri="{FF2B5EF4-FFF2-40B4-BE49-F238E27FC236}">
              <a16:creationId xmlns:a16="http://schemas.microsoft.com/office/drawing/2014/main" id="{52F99C7F-38F2-433E-86D8-4F3D43524159}"/>
            </a:ext>
            <a:ext uri="{147F2762-F138-4A5C-976F-8EAC2B608ADB}">
              <a16:predDERef xmlns:a16="http://schemas.microsoft.com/office/drawing/2014/main" pred="{9E734C4C-5B95-41FC-B728-675AAACEBECD}"/>
            </a:ext>
          </a:extLst>
        </xdr:cNvPr>
        <xdr:cNvSpPr txBox="1"/>
      </xdr:nvSpPr>
      <xdr:spPr>
        <a:xfrm>
          <a:off x="0" y="10096500"/>
          <a:ext cx="5219700" cy="80962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a:latin typeface="+mn-lt"/>
              <a:ea typeface="+mn-lt"/>
              <a:cs typeface="+mn-lt"/>
            </a:rPr>
            <a:t>Ponsse moved from a €66.1m net cash position in 2021 to €45.5m of net debt in 2023 as inventory, receivables and investment absorbed cash. Strong working-capital release in 2024 allowed net debt to fall to €3.3m, before rising again to €20.5m in 2025 as inventories and receivables increased.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600075</xdr:colOff>
      <xdr:row>2</xdr:row>
      <xdr:rowOff>180975</xdr:rowOff>
    </xdr:from>
    <xdr:to>
      <xdr:col>14</xdr:col>
      <xdr:colOff>142875</xdr:colOff>
      <xdr:row>8</xdr:row>
      <xdr:rowOff>114300</xdr:rowOff>
    </xdr:to>
    <xdr:sp macro="" textlink="">
      <xdr:nvSpPr>
        <xdr:cNvPr id="2" name="TextBox 1">
          <a:extLst>
            <a:ext uri="{FF2B5EF4-FFF2-40B4-BE49-F238E27FC236}">
              <a16:creationId xmlns:a16="http://schemas.microsoft.com/office/drawing/2014/main" id="{5114DBA4-206A-1A73-47A1-04414C8BD027}"/>
            </a:ext>
          </a:extLst>
        </xdr:cNvPr>
        <xdr:cNvSpPr txBox="1"/>
      </xdr:nvSpPr>
      <xdr:spPr>
        <a:xfrm>
          <a:off x="6619875" y="561975"/>
          <a:ext cx="3810000" cy="10763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1">
              <a:latin typeface="+mn-lt"/>
              <a:ea typeface="+mn-lt"/>
              <a:cs typeface="+mn-lt"/>
            </a:rPr>
            <a:t>Inventory comparability:</a:t>
          </a:r>
          <a:r>
            <a:rPr lang="en-US" sz="1100">
              <a:latin typeface="+mn-lt"/>
              <a:ea typeface="+mn-lt"/>
              <a:cs typeface="+mn-lt"/>
            </a:rPr>
            <a:t> The 2021 balance sheet was not adjusted for discontinued Russian operations. At year-end 2022, €6.846 million of inventories associated with the Russian operations was classified separately as assets held for sale. The reported inventory balances are retained without adjustment. Comparisons between 2021 and 2022 require caution.</a:t>
          </a:r>
        </a:p>
      </xdr:txBody>
    </xdr:sp>
    <xdr:clientData/>
  </xdr:twoCellAnchor>
  <xdr:twoCellAnchor>
    <xdr:from>
      <xdr:col>14</xdr:col>
      <xdr:colOff>276225</xdr:colOff>
      <xdr:row>3</xdr:row>
      <xdr:rowOff>0</xdr:rowOff>
    </xdr:from>
    <xdr:to>
      <xdr:col>20</xdr:col>
      <xdr:colOff>247650</xdr:colOff>
      <xdr:row>8</xdr:row>
      <xdr:rowOff>123825</xdr:rowOff>
    </xdr:to>
    <xdr:sp macro="" textlink="">
      <xdr:nvSpPr>
        <xdr:cNvPr id="3" name="TextBox 2">
          <a:extLst>
            <a:ext uri="{FF2B5EF4-FFF2-40B4-BE49-F238E27FC236}">
              <a16:creationId xmlns:a16="http://schemas.microsoft.com/office/drawing/2014/main" id="{29C35B85-6E53-43A8-B1B6-4F51BF998513}"/>
            </a:ext>
            <a:ext uri="{147F2762-F138-4A5C-976F-8EAC2B608ADB}">
              <a16:predDERef xmlns:a16="http://schemas.microsoft.com/office/drawing/2014/main" pred="{5114DBA4-206A-1A73-47A1-04414C8BD027}"/>
            </a:ext>
          </a:extLst>
        </xdr:cNvPr>
        <xdr:cNvSpPr txBox="1"/>
      </xdr:nvSpPr>
      <xdr:spPr>
        <a:xfrm>
          <a:off x="10563225" y="571500"/>
          <a:ext cx="3629025" cy="107632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a:latin typeface="+mn-lt"/>
              <a:ea typeface="+mn-lt"/>
              <a:cs typeface="+mn-lt"/>
            </a:rPr>
            <a:t>Cash comparability:</a:t>
          </a:r>
          <a:r>
            <a:rPr lang="en-US" sz="1100">
              <a:latin typeface="+mn-lt"/>
              <a:ea typeface="+mn-lt"/>
              <a:cs typeface="+mn-lt"/>
            </a:rPr>
            <a:t> The 2021 comparative balance sheet was not adjusted for discontinued Russian operations. At 31 Dec 2022, €3.094m of cash relating to the Russian operation was classified separately within assets held for sale. Reported cash and cash equivalents are retained without adjustment.</a:t>
          </a:r>
        </a:p>
      </xdr:txBody>
    </xdr:sp>
    <xdr:clientData/>
  </xdr:twoCellAnchor>
  <xdr:twoCellAnchor>
    <xdr:from>
      <xdr:col>8</xdr:col>
      <xdr:colOff>0</xdr:colOff>
      <xdr:row>9</xdr:row>
      <xdr:rowOff>0</xdr:rowOff>
    </xdr:from>
    <xdr:to>
      <xdr:col>12</xdr:col>
      <xdr:colOff>314325</xdr:colOff>
      <xdr:row>14</xdr:row>
      <xdr:rowOff>114300</xdr:rowOff>
    </xdr:to>
    <xdr:sp macro="" textlink="">
      <xdr:nvSpPr>
        <xdr:cNvPr id="4" name="TextBox 3">
          <a:extLst>
            <a:ext uri="{FF2B5EF4-FFF2-40B4-BE49-F238E27FC236}">
              <a16:creationId xmlns:a16="http://schemas.microsoft.com/office/drawing/2014/main" id="{DA012BC9-C428-4C4A-8C3F-23034540B837}"/>
            </a:ext>
            <a:ext uri="{147F2762-F138-4A5C-976F-8EAC2B608ADB}">
              <a16:predDERef xmlns:a16="http://schemas.microsoft.com/office/drawing/2014/main" pred="{29C35B85-6E53-43A8-B1B6-4F51BF998513}"/>
            </a:ext>
          </a:extLst>
        </xdr:cNvPr>
        <xdr:cNvSpPr txBox="1"/>
      </xdr:nvSpPr>
      <xdr:spPr>
        <a:xfrm>
          <a:off x="6629400" y="1714500"/>
          <a:ext cx="2752725" cy="1066800"/>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a:latin typeface="+mn-lt"/>
              <a:ea typeface="+mn-lt"/>
              <a:cs typeface="+mn-lt"/>
            </a:rPr>
            <a:t>Equity adjustment: </a:t>
          </a:r>
          <a:r>
            <a:rPr lang="en-US" sz="1100">
              <a:latin typeface="+mn-lt"/>
              <a:ea typeface="+mn-lt"/>
              <a:cs typeface="+mn-lt"/>
            </a:rPr>
            <a:t>2022 equity originally reported as 321,813. Corrected opening 2023 equity was 316,851 following a prior-period defined-benefit-plan correction. Original reported 2022 figure retained in Source Data.</a:t>
          </a:r>
        </a:p>
      </xdr:txBody>
    </xdr:sp>
    <xdr:clientData/>
  </xdr:twoCellAnchor>
</xdr:wsDr>
</file>

<file path=xl/theme/theme1.xml><?xml version="1.0" encoding="utf-8"?>
<a:theme xmlns:a="http://schemas.openxmlformats.org/drawing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77B1F-5F3D-435A-887D-BEF9DE3ED461}">
  <dimension ref="A1:W53"/>
  <sheetViews>
    <sheetView tabSelected="1" topLeftCell="A30" workbookViewId="0">
      <selection activeCell="I56" sqref="I56"/>
    </sheetView>
  </sheetViews>
  <sheetFormatPr defaultRowHeight="15"/>
  <cols>
    <col min="1" max="1" width="23.42578125" bestFit="1" customWidth="1"/>
    <col min="2" max="2" width="8.85546875" bestFit="1" customWidth="1"/>
    <col min="8" max="8" width="24.42578125" bestFit="1" customWidth="1"/>
    <col min="9" max="9" width="24" bestFit="1" customWidth="1"/>
  </cols>
  <sheetData>
    <row r="1" spans="15:23">
      <c r="O1" s="1" t="s">
        <v>0</v>
      </c>
      <c r="P1" s="1" t="s">
        <v>1</v>
      </c>
      <c r="R1" s="1" t="s">
        <v>0</v>
      </c>
      <c r="S1" s="1" t="s">
        <v>2</v>
      </c>
      <c r="U1" s="1" t="s">
        <v>0</v>
      </c>
      <c r="V1" s="1" t="s">
        <v>3</v>
      </c>
      <c r="W1" s="1" t="s">
        <v>4</v>
      </c>
    </row>
    <row r="2" spans="15:23">
      <c r="O2" s="7" t="s">
        <v>5</v>
      </c>
      <c r="P2" s="6">
        <f>'Source Data'!C2/1000</f>
        <v>608.27099999999996</v>
      </c>
      <c r="R2" s="7" t="s">
        <v>5</v>
      </c>
      <c r="S2" s="5">
        <f>Calculations!C3</f>
        <v>8.2196915519562833E-2</v>
      </c>
      <c r="U2" s="7" t="s">
        <v>5</v>
      </c>
      <c r="V2" s="6">
        <f>'Source Data'!C4/1000</f>
        <v>102.429</v>
      </c>
      <c r="W2" s="6">
        <f>Calculations!C4/1000</f>
        <v>77.572999999999993</v>
      </c>
    </row>
    <row r="3" spans="15:23">
      <c r="O3" s="7" t="s">
        <v>6</v>
      </c>
      <c r="P3" s="6">
        <f>'Source Data'!D2/1000</f>
        <v>755.12300000000005</v>
      </c>
      <c r="R3" s="7" t="s">
        <v>6</v>
      </c>
      <c r="S3" s="5">
        <f>Calculations!D3</f>
        <v>6.1681341980048286E-2</v>
      </c>
      <c r="U3" s="7" t="s">
        <v>6</v>
      </c>
      <c r="V3" s="6">
        <f>'Source Data'!D4/1000</f>
        <v>-17.945</v>
      </c>
      <c r="W3" s="6">
        <f>Calculations!D4/1000</f>
        <v>-59.862000000000002</v>
      </c>
    </row>
    <row r="4" spans="15:23">
      <c r="O4" s="7" t="s">
        <v>7</v>
      </c>
      <c r="P4" s="6">
        <f>'Source Data'!E2/1000</f>
        <v>821.8</v>
      </c>
      <c r="R4" s="7" t="s">
        <v>7</v>
      </c>
      <c r="S4" s="5">
        <f>Calculations!E3</f>
        <v>5.7377707471404235E-2</v>
      </c>
      <c r="U4" s="7" t="s">
        <v>7</v>
      </c>
      <c r="V4" s="6">
        <f>'Source Data'!E4/1000</f>
        <v>30.390999999999998</v>
      </c>
      <c r="W4" s="6">
        <f>Calculations!E4/1000</f>
        <v>-5.5010000000000003</v>
      </c>
    </row>
    <row r="5" spans="15:23">
      <c r="O5" s="7" t="s">
        <v>8</v>
      </c>
      <c r="P5" s="6">
        <f>'Source Data'!F2/1000</f>
        <v>750.42700000000002</v>
      </c>
      <c r="R5" s="7" t="s">
        <v>8</v>
      </c>
      <c r="S5" s="5">
        <f>Calculations!F3</f>
        <v>4.8978781413781751E-2</v>
      </c>
      <c r="U5" s="7" t="s">
        <v>8</v>
      </c>
      <c r="V5" s="6">
        <f>'Source Data'!F4/1000</f>
        <v>85.001000000000005</v>
      </c>
      <c r="W5" s="6">
        <f>Calculations!F4/1000</f>
        <v>63.41</v>
      </c>
    </row>
    <row r="6" spans="15:23">
      <c r="O6" s="7" t="s">
        <v>9</v>
      </c>
      <c r="P6" s="6">
        <f>'Source Data'!G2/1000</f>
        <v>749.87400000000002</v>
      </c>
      <c r="R6" s="7" t="s">
        <v>9</v>
      </c>
      <c r="S6" s="5">
        <f>Calculations!G3</f>
        <v>5.5518660468292007E-2</v>
      </c>
      <c r="U6" s="7" t="s">
        <v>9</v>
      </c>
      <c r="V6" s="6">
        <f>'Source Data'!G4/1000</f>
        <v>23.276</v>
      </c>
      <c r="W6" s="6">
        <f>Calculations!G4/1000</f>
        <v>0.59799999999999998</v>
      </c>
    </row>
    <row r="27" spans="1:6">
      <c r="A27" s="1" t="s">
        <v>10</v>
      </c>
      <c r="B27" s="1">
        <v>2021</v>
      </c>
      <c r="C27" s="1">
        <v>2022</v>
      </c>
      <c r="D27" s="1">
        <v>2023</v>
      </c>
      <c r="E27" s="1">
        <v>2024</v>
      </c>
      <c r="F27" s="1">
        <v>2025</v>
      </c>
    </row>
    <row r="28" spans="1:6">
      <c r="A28" t="s">
        <v>11</v>
      </c>
      <c r="B28" s="6">
        <f>Calculations!C6/1000</f>
        <v>-66.103999999999999</v>
      </c>
      <c r="C28" s="6">
        <f>Calculations!D6/1000</f>
        <v>22.837</v>
      </c>
      <c r="D28" s="6">
        <f>Calculations!E6/1000</f>
        <v>45.451000000000001</v>
      </c>
      <c r="E28" s="6">
        <f>Calculations!F6/1000</f>
        <v>3.3410000000000002</v>
      </c>
      <c r="F28" s="6">
        <f>Calculations!G6/1000</f>
        <v>20.548999999999999</v>
      </c>
    </row>
    <row r="29" spans="1:6">
      <c r="A29" t="s">
        <v>12</v>
      </c>
      <c r="B29" s="5">
        <f>Calculations!C7</f>
        <v>-0.22237247995909401</v>
      </c>
      <c r="C29" s="5">
        <f>Calculations!D7</f>
        <v>7.0963572012317719E-2</v>
      </c>
      <c r="D29" s="5">
        <f>Calculations!E7</f>
        <v>0.14124033946656142</v>
      </c>
      <c r="E29" s="5">
        <f>Calculations!F7</f>
        <v>1.0211098648198464E-2</v>
      </c>
      <c r="F29" s="5">
        <f>Calculations!G7</f>
        <v>6.076116300455657E-2</v>
      </c>
    </row>
    <row r="30" spans="1:6">
      <c r="A30" t="s">
        <v>13</v>
      </c>
      <c r="B30" s="5">
        <f>Calculations!C9</f>
        <v>0.27522929746774055</v>
      </c>
      <c r="C30" s="5">
        <f>Calculations!D9</f>
        <v>0.30411999104781606</v>
      </c>
      <c r="D30" s="5">
        <f>Calculations!E9</f>
        <v>0.2930603553175955</v>
      </c>
      <c r="E30" s="5">
        <f>Calculations!F9</f>
        <v>0.2919977559442824</v>
      </c>
      <c r="F30" s="5">
        <f>Calculations!G9</f>
        <v>0.32007910662324601</v>
      </c>
    </row>
    <row r="31" spans="1:6">
      <c r="A31" t="s">
        <v>14</v>
      </c>
      <c r="B31" s="5">
        <f>Calculations!C10</f>
        <v>9.0243813417037744E-2</v>
      </c>
      <c r="C31" s="5">
        <f>Calculations!D10</f>
        <v>0.55878198737121965</v>
      </c>
      <c r="D31" s="5">
        <f>Calculations!E10</f>
        <v>0.44214879492352643</v>
      </c>
      <c r="E31" s="5">
        <f>Calculations!F10</f>
        <v>0.26477321093741013</v>
      </c>
      <c r="F31" s="5">
        <f>Calculations!G10</f>
        <v>0.22207679991867646</v>
      </c>
    </row>
    <row r="33" spans="1:2">
      <c r="A33" s="1" t="s">
        <v>15</v>
      </c>
    </row>
    <row r="35" spans="1:2">
      <c r="A35" s="1" t="s">
        <v>16</v>
      </c>
      <c r="B35" s="9" t="s">
        <v>17</v>
      </c>
    </row>
    <row r="41" spans="1:2">
      <c r="A41" s="1" t="s">
        <v>18</v>
      </c>
      <c r="B41" s="9" t="s">
        <v>19</v>
      </c>
    </row>
    <row r="47" spans="1:2">
      <c r="A47" s="1" t="s">
        <v>20</v>
      </c>
      <c r="B47" s="9" t="s">
        <v>21</v>
      </c>
    </row>
    <row r="53" spans="1:2">
      <c r="A53" s="1" t="s">
        <v>22</v>
      </c>
      <c r="B53" s="9" t="s">
        <v>23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A33B2-BB62-4214-98F4-0511EB452B58}">
  <dimension ref="A1:I12"/>
  <sheetViews>
    <sheetView workbookViewId="0">
      <selection activeCell="C8" sqref="C8:C9"/>
    </sheetView>
  </sheetViews>
  <sheetFormatPr defaultRowHeight="15"/>
  <cols>
    <col min="1" max="1" width="35.42578125" bestFit="1" customWidth="1"/>
  </cols>
  <sheetData>
    <row r="1" spans="1:9">
      <c r="A1" s="1" t="s">
        <v>10</v>
      </c>
      <c r="B1" s="1" t="s">
        <v>24</v>
      </c>
      <c r="C1" s="1">
        <v>2021</v>
      </c>
      <c r="D1" s="1">
        <v>2022</v>
      </c>
      <c r="E1" s="1">
        <v>2023</v>
      </c>
      <c r="F1" s="1">
        <v>2024</v>
      </c>
      <c r="G1" s="1">
        <v>2025</v>
      </c>
      <c r="I1" s="1" t="s">
        <v>25</v>
      </c>
    </row>
    <row r="2" spans="1:9">
      <c r="A2" t="s">
        <v>1</v>
      </c>
      <c r="B2" t="s">
        <v>26</v>
      </c>
      <c r="C2" s="2">
        <v>608271</v>
      </c>
      <c r="D2" s="2">
        <v>755123</v>
      </c>
      <c r="E2" s="2">
        <v>821800</v>
      </c>
      <c r="F2" s="2">
        <v>750427</v>
      </c>
      <c r="G2" s="2">
        <v>749874</v>
      </c>
      <c r="I2" t="s">
        <v>27</v>
      </c>
    </row>
    <row r="3" spans="1:9">
      <c r="A3" t="s">
        <v>28</v>
      </c>
      <c r="B3" t="s">
        <v>26</v>
      </c>
      <c r="C3" s="2">
        <v>49998</v>
      </c>
      <c r="D3" s="2">
        <v>46577</v>
      </c>
      <c r="E3" s="2">
        <v>47153</v>
      </c>
      <c r="F3" s="2">
        <v>36755</v>
      </c>
      <c r="G3" s="2">
        <v>41632</v>
      </c>
      <c r="I3" t="s">
        <v>29</v>
      </c>
    </row>
    <row r="4" spans="1:9">
      <c r="A4" t="s">
        <v>30</v>
      </c>
      <c r="B4" t="s">
        <v>26</v>
      </c>
      <c r="C4" s="2">
        <v>102429</v>
      </c>
      <c r="D4" s="2">
        <v>-17945</v>
      </c>
      <c r="E4" s="2">
        <v>30391</v>
      </c>
      <c r="F4" s="2">
        <v>85001</v>
      </c>
      <c r="G4" s="2">
        <v>23276</v>
      </c>
    </row>
    <row r="5" spans="1:9">
      <c r="A5" t="s">
        <v>31</v>
      </c>
      <c r="B5" t="s">
        <v>26</v>
      </c>
      <c r="C5" s="2">
        <v>-24856</v>
      </c>
      <c r="D5" s="2">
        <v>-41917</v>
      </c>
      <c r="E5" s="2">
        <v>-35892</v>
      </c>
      <c r="F5" s="2">
        <v>-21591</v>
      </c>
      <c r="G5" s="2">
        <v>-22678</v>
      </c>
    </row>
    <row r="6" spans="1:9">
      <c r="A6" t="s">
        <v>32</v>
      </c>
      <c r="B6" t="s">
        <v>26</v>
      </c>
      <c r="C6" s="2">
        <v>167414</v>
      </c>
      <c r="D6" s="2">
        <v>229648</v>
      </c>
      <c r="E6" s="2">
        <v>240837</v>
      </c>
      <c r="F6" s="2">
        <v>219123</v>
      </c>
      <c r="G6" s="2">
        <v>240019</v>
      </c>
    </row>
    <row r="7" spans="1:9">
      <c r="A7" t="s">
        <v>33</v>
      </c>
      <c r="B7" t="s">
        <v>26</v>
      </c>
      <c r="C7" s="2">
        <v>120900</v>
      </c>
      <c r="D7" s="2">
        <v>73451</v>
      </c>
      <c r="E7" s="2">
        <v>74002</v>
      </c>
      <c r="F7" s="2">
        <v>83590</v>
      </c>
      <c r="G7" s="2">
        <v>58149</v>
      </c>
    </row>
    <row r="8" spans="1:9">
      <c r="A8" t="s">
        <v>34</v>
      </c>
      <c r="B8" t="s">
        <v>26</v>
      </c>
      <c r="C8" s="2">
        <v>49851</v>
      </c>
      <c r="D8" s="2">
        <v>42484</v>
      </c>
      <c r="E8" s="2">
        <v>66637</v>
      </c>
      <c r="F8" s="2">
        <v>63914</v>
      </c>
      <c r="G8" s="2">
        <v>61221</v>
      </c>
    </row>
    <row r="9" spans="1:9">
      <c r="A9" s="3" t="s">
        <v>35</v>
      </c>
      <c r="B9" t="s">
        <v>26</v>
      </c>
      <c r="C9" s="2">
        <v>4945</v>
      </c>
      <c r="D9" s="2">
        <v>53804</v>
      </c>
      <c r="E9" s="2">
        <v>52816</v>
      </c>
      <c r="F9" s="2">
        <v>23017</v>
      </c>
      <c r="G9" s="2">
        <v>17477</v>
      </c>
    </row>
    <row r="10" spans="1:9">
      <c r="A10" t="s">
        <v>36</v>
      </c>
      <c r="B10" t="s">
        <v>26</v>
      </c>
      <c r="C10" s="2">
        <v>297267</v>
      </c>
      <c r="D10" s="2">
        <v>321813</v>
      </c>
      <c r="E10" s="2">
        <v>321799</v>
      </c>
      <c r="F10" s="2">
        <v>327193</v>
      </c>
      <c r="G10" s="2">
        <v>338193</v>
      </c>
    </row>
    <row r="12" spans="1:9">
      <c r="I12" s="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C02D5-2C3B-42D1-B8EA-1EBA216FA0B5}">
  <dimension ref="A1:G13"/>
  <sheetViews>
    <sheetView workbookViewId="0">
      <selection activeCell="I12" sqref="I12"/>
    </sheetView>
  </sheetViews>
  <sheetFormatPr defaultRowHeight="15"/>
  <cols>
    <col min="1" max="1" width="24.42578125" bestFit="1" customWidth="1"/>
    <col min="2" max="2" width="9.28515625" customWidth="1"/>
  </cols>
  <sheetData>
    <row r="1" spans="1:7">
      <c r="A1" s="1" t="s">
        <v>10</v>
      </c>
      <c r="B1" s="1" t="s">
        <v>24</v>
      </c>
      <c r="C1" s="1">
        <v>2021</v>
      </c>
      <c r="D1" s="1">
        <v>2022</v>
      </c>
      <c r="E1" s="1">
        <v>2023</v>
      </c>
      <c r="F1" s="1">
        <v>2024</v>
      </c>
      <c r="G1" s="1">
        <v>2025</v>
      </c>
    </row>
    <row r="2" spans="1:7">
      <c r="A2" t="s">
        <v>37</v>
      </c>
      <c r="B2" t="s">
        <v>38</v>
      </c>
      <c r="C2" s="4"/>
      <c r="D2" s="4">
        <f>'Source Data'!D2/'Source Data'!C2-1</f>
        <v>0.24142528576900757</v>
      </c>
      <c r="E2" s="4">
        <f>'Source Data'!E2/'Source Data'!D2-1</f>
        <v>8.829952206461722E-2</v>
      </c>
      <c r="F2" s="4">
        <f>'Source Data'!F2/'Source Data'!E2-1</f>
        <v>-8.6849598442443443E-2</v>
      </c>
      <c r="G2" s="4">
        <f>'Source Data'!G2/'Source Data'!F2-1</f>
        <v>-7.3691378375240202E-4</v>
      </c>
    </row>
    <row r="3" spans="1:7">
      <c r="A3" t="s">
        <v>2</v>
      </c>
      <c r="B3" t="s">
        <v>38</v>
      </c>
      <c r="C3" s="4">
        <f>'Source Data'!C3/'Source Data'!C2</f>
        <v>8.2196915519562833E-2</v>
      </c>
      <c r="D3" s="4">
        <f>'Source Data'!D3/'Source Data'!D2</f>
        <v>6.1681341980048286E-2</v>
      </c>
      <c r="E3" s="4">
        <f>'Source Data'!E3/'Source Data'!E2</f>
        <v>5.7377707471404235E-2</v>
      </c>
      <c r="F3" s="4">
        <f>'Source Data'!F3/'Source Data'!F2</f>
        <v>4.8978781413781751E-2</v>
      </c>
      <c r="G3" s="4">
        <f>'Source Data'!G3/'Source Data'!G2</f>
        <v>5.5518660468292007E-2</v>
      </c>
    </row>
    <row r="4" spans="1:7">
      <c r="A4" t="s">
        <v>39</v>
      </c>
      <c r="B4" t="s">
        <v>26</v>
      </c>
      <c r="C4" s="2">
        <f>'Source Data'!C4+'Source Data'!C5</f>
        <v>77573</v>
      </c>
      <c r="D4" s="2">
        <f>'Source Data'!D4+'Source Data'!D5</f>
        <v>-59862</v>
      </c>
      <c r="E4" s="2">
        <f>'Source Data'!E4+'Source Data'!E5</f>
        <v>-5501</v>
      </c>
      <c r="F4" s="2">
        <f>'Source Data'!F4+'Source Data'!F5</f>
        <v>63410</v>
      </c>
      <c r="G4" s="2">
        <f>'Source Data'!G4+'Source Data'!G5</f>
        <v>598</v>
      </c>
    </row>
    <row r="5" spans="1:7">
      <c r="A5" t="s">
        <v>40</v>
      </c>
      <c r="B5" t="s">
        <v>26</v>
      </c>
      <c r="C5" s="2">
        <f>'Source Data'!C8+'Source Data'!C9</f>
        <v>54796</v>
      </c>
      <c r="D5" s="2">
        <f>'Source Data'!D8+'Source Data'!D9</f>
        <v>96288</v>
      </c>
      <c r="E5" s="2">
        <f>'Source Data'!E8+'Source Data'!E9</f>
        <v>119453</v>
      </c>
      <c r="F5" s="2">
        <f>'Source Data'!F8+'Source Data'!F9</f>
        <v>86931</v>
      </c>
      <c r="G5" s="2">
        <f>'Source Data'!G8+'Source Data'!G9</f>
        <v>78698</v>
      </c>
    </row>
    <row r="6" spans="1:7">
      <c r="A6" t="s">
        <v>41</v>
      </c>
      <c r="B6" t="s">
        <v>26</v>
      </c>
      <c r="C6" s="2">
        <f>C5-'Source Data'!C7</f>
        <v>-66104</v>
      </c>
      <c r="D6" s="2">
        <f>D5-'Source Data'!D7</f>
        <v>22837</v>
      </c>
      <c r="E6" s="2">
        <f>E5-'Source Data'!E7</f>
        <v>45451</v>
      </c>
      <c r="F6" s="2">
        <f>F5-'Source Data'!F7</f>
        <v>3341</v>
      </c>
      <c r="G6" s="2">
        <f>G5-'Source Data'!G7</f>
        <v>20549</v>
      </c>
    </row>
    <row r="7" spans="1:7">
      <c r="A7" t="s">
        <v>12</v>
      </c>
      <c r="B7" t="s">
        <v>38</v>
      </c>
      <c r="C7" s="4">
        <f>C6/'Source Data'!C10</f>
        <v>-0.22237247995909401</v>
      </c>
      <c r="D7" s="4">
        <f>D6/'Source Data'!D10</f>
        <v>7.0963572012317719E-2</v>
      </c>
      <c r="E7" s="4">
        <f>E6/'Source Data'!E10</f>
        <v>0.14124033946656142</v>
      </c>
      <c r="F7" s="4">
        <f>F6/'Source Data'!F10</f>
        <v>1.0211098648198464E-2</v>
      </c>
      <c r="G7" s="4">
        <f>G6/'Source Data'!G10</f>
        <v>6.076116300455657E-2</v>
      </c>
    </row>
    <row r="8" spans="1:7">
      <c r="A8" t="s">
        <v>42</v>
      </c>
      <c r="B8" t="s">
        <v>38</v>
      </c>
      <c r="C8" s="4">
        <f>ABS('Source Data'!C5)/'Source Data'!C2</f>
        <v>4.0863365177692179E-2</v>
      </c>
      <c r="D8" s="4">
        <f>ABS('Source Data'!D5)/'Source Data'!D2</f>
        <v>5.5510161920640747E-2</v>
      </c>
      <c r="E8" s="4">
        <f>ABS('Source Data'!E5)/'Source Data'!E2</f>
        <v>4.3674860063275735E-2</v>
      </c>
      <c r="F8" s="4">
        <f>ABS('Source Data'!F5)/'Source Data'!F2</f>
        <v>2.8771619358045487E-2</v>
      </c>
      <c r="G8" s="4">
        <f>ABS('Source Data'!G5)/'Source Data'!G2</f>
        <v>3.0242414058895228E-2</v>
      </c>
    </row>
    <row r="9" spans="1:7">
      <c r="A9" t="s">
        <v>13</v>
      </c>
      <c r="B9" t="s">
        <v>38</v>
      </c>
      <c r="C9" s="4">
        <f>'Source Data'!C6/'Source Data'!C2</f>
        <v>0.27522929746774055</v>
      </c>
      <c r="D9" s="4">
        <f>'Source Data'!D6/'Source Data'!D2</f>
        <v>0.30411999104781606</v>
      </c>
      <c r="E9" s="4">
        <f>'Source Data'!E6/'Source Data'!E2</f>
        <v>0.2930603553175955</v>
      </c>
      <c r="F9" s="4">
        <f>'Source Data'!F6/'Source Data'!F2</f>
        <v>0.2919977559442824</v>
      </c>
      <c r="G9" s="4">
        <f>'Source Data'!G6/'Source Data'!G2</f>
        <v>0.32007910662324601</v>
      </c>
    </row>
    <row r="10" spans="1:7">
      <c r="A10" t="s">
        <v>43</v>
      </c>
      <c r="B10" t="s">
        <v>38</v>
      </c>
      <c r="C10" s="4">
        <f>'Source Data'!C9/C5</f>
        <v>9.0243813417037744E-2</v>
      </c>
      <c r="D10" s="4">
        <f>'Source Data'!D9/D5</f>
        <v>0.55878198737121965</v>
      </c>
      <c r="E10" s="4">
        <f>'Source Data'!E9/E5</f>
        <v>0.44214879492352643</v>
      </c>
      <c r="F10" s="4">
        <f>'Source Data'!F9/F5</f>
        <v>0.26477321093741013</v>
      </c>
      <c r="G10" s="4">
        <f>'Source Data'!G9/G5</f>
        <v>0.22207679991867646</v>
      </c>
    </row>
    <row r="12" spans="1:7">
      <c r="A12" s="1" t="s">
        <v>10</v>
      </c>
      <c r="B12" s="1" t="s">
        <v>24</v>
      </c>
      <c r="C12" s="1" t="s">
        <v>44</v>
      </c>
    </row>
    <row r="13" spans="1:7">
      <c r="A13" t="s">
        <v>45</v>
      </c>
      <c r="B13" t="s">
        <v>38</v>
      </c>
      <c r="C13" s="8">
        <f>('Source Data'!G2/'Source Data'!C2)^(1/4)-1</f>
        <v>5.3714111133804199E-2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AFE00-140A-4685-B846-9BCA16AC1876}">
  <dimension ref="A1:F17"/>
  <sheetViews>
    <sheetView workbookViewId="0">
      <selection activeCell="F16" sqref="F16"/>
    </sheetView>
  </sheetViews>
  <sheetFormatPr defaultRowHeight="15"/>
  <cols>
    <col min="1" max="1" width="8.28515625" customWidth="1"/>
    <col min="2" max="2" width="25.7109375" bestFit="1" customWidth="1"/>
    <col min="3" max="3" width="46.140625" bestFit="1" customWidth="1"/>
    <col min="4" max="4" width="5.42578125" bestFit="1" customWidth="1"/>
    <col min="5" max="5" width="30.28515625" bestFit="1" customWidth="1"/>
    <col min="6" max="6" width="75" bestFit="1" customWidth="1"/>
  </cols>
  <sheetData>
    <row r="1" spans="1:6">
      <c r="A1" s="1" t="s">
        <v>0</v>
      </c>
      <c r="B1" s="1" t="s">
        <v>46</v>
      </c>
      <c r="C1" s="1" t="s">
        <v>47</v>
      </c>
      <c r="D1" s="1" t="s">
        <v>48</v>
      </c>
      <c r="E1" s="1" t="s">
        <v>49</v>
      </c>
      <c r="F1" s="1" t="s">
        <v>25</v>
      </c>
    </row>
    <row r="2" spans="1:6">
      <c r="A2">
        <v>2021</v>
      </c>
      <c r="B2" t="s">
        <v>50</v>
      </c>
      <c r="C2" t="s">
        <v>51</v>
      </c>
      <c r="D2">
        <v>51</v>
      </c>
      <c r="E2" t="s">
        <v>52</v>
      </c>
      <c r="F2" t="s">
        <v>53</v>
      </c>
    </row>
    <row r="3" spans="1:6">
      <c r="A3">
        <v>2021</v>
      </c>
      <c r="B3" t="s">
        <v>54</v>
      </c>
      <c r="C3" t="s">
        <v>55</v>
      </c>
      <c r="D3">
        <v>72</v>
      </c>
      <c r="E3" t="s">
        <v>56</v>
      </c>
    </row>
    <row r="4" spans="1:6">
      <c r="A4">
        <v>2021</v>
      </c>
      <c r="B4" t="s">
        <v>54</v>
      </c>
      <c r="C4" t="s">
        <v>57</v>
      </c>
      <c r="D4">
        <v>71</v>
      </c>
      <c r="E4" t="s">
        <v>58</v>
      </c>
    </row>
    <row r="5" spans="1:6">
      <c r="A5">
        <v>2022</v>
      </c>
      <c r="B5" t="s">
        <v>50</v>
      </c>
      <c r="C5" t="s">
        <v>51</v>
      </c>
      <c r="D5">
        <v>51</v>
      </c>
      <c r="E5" t="s">
        <v>52</v>
      </c>
    </row>
    <row r="6" spans="1:6">
      <c r="A6">
        <v>2022</v>
      </c>
      <c r="B6" t="s">
        <v>50</v>
      </c>
      <c r="C6" t="s">
        <v>55</v>
      </c>
      <c r="D6">
        <v>53</v>
      </c>
      <c r="E6" t="s">
        <v>56</v>
      </c>
    </row>
    <row r="7" spans="1:6">
      <c r="A7">
        <v>2022</v>
      </c>
      <c r="B7" t="s">
        <v>50</v>
      </c>
      <c r="C7" t="s">
        <v>57</v>
      </c>
      <c r="D7">
        <v>52</v>
      </c>
      <c r="E7" t="s">
        <v>58</v>
      </c>
    </row>
    <row r="8" spans="1:6">
      <c r="A8">
        <v>2022</v>
      </c>
      <c r="B8" t="s">
        <v>59</v>
      </c>
      <c r="C8" t="s">
        <v>60</v>
      </c>
      <c r="D8">
        <v>66</v>
      </c>
      <c r="E8" t="s">
        <v>61</v>
      </c>
      <c r="F8" t="s">
        <v>62</v>
      </c>
    </row>
    <row r="9" spans="1:6">
      <c r="A9">
        <v>2023</v>
      </c>
      <c r="B9" t="s">
        <v>59</v>
      </c>
      <c r="C9" t="s">
        <v>51</v>
      </c>
      <c r="D9">
        <v>63</v>
      </c>
      <c r="E9" t="s">
        <v>52</v>
      </c>
    </row>
    <row r="10" spans="1:6">
      <c r="A10">
        <v>2023</v>
      </c>
      <c r="B10" t="s">
        <v>59</v>
      </c>
      <c r="C10" t="s">
        <v>55</v>
      </c>
      <c r="D10">
        <v>65</v>
      </c>
      <c r="E10" t="s">
        <v>56</v>
      </c>
    </row>
    <row r="11" spans="1:6">
      <c r="A11">
        <v>2023</v>
      </c>
      <c r="B11" t="s">
        <v>59</v>
      </c>
      <c r="C11" t="s">
        <v>57</v>
      </c>
      <c r="D11">
        <v>64</v>
      </c>
      <c r="E11" t="s">
        <v>58</v>
      </c>
    </row>
    <row r="12" spans="1:6">
      <c r="A12">
        <v>2024</v>
      </c>
      <c r="B12" t="s">
        <v>63</v>
      </c>
      <c r="C12" t="s">
        <v>51</v>
      </c>
      <c r="D12">
        <v>111</v>
      </c>
      <c r="E12" t="s">
        <v>52</v>
      </c>
    </row>
    <row r="13" spans="1:6">
      <c r="A13">
        <v>2024</v>
      </c>
      <c r="B13" t="s">
        <v>63</v>
      </c>
      <c r="C13" t="s">
        <v>55</v>
      </c>
      <c r="D13">
        <v>113</v>
      </c>
      <c r="E13" t="s">
        <v>56</v>
      </c>
    </row>
    <row r="14" spans="1:6">
      <c r="A14">
        <v>2024</v>
      </c>
      <c r="B14" t="s">
        <v>63</v>
      </c>
      <c r="C14" t="s">
        <v>57</v>
      </c>
      <c r="D14">
        <v>112</v>
      </c>
      <c r="E14" t="s">
        <v>58</v>
      </c>
    </row>
    <row r="15" spans="1:6">
      <c r="A15">
        <v>2025</v>
      </c>
      <c r="B15" t="s">
        <v>64</v>
      </c>
      <c r="C15" t="s">
        <v>51</v>
      </c>
      <c r="D15">
        <v>120</v>
      </c>
      <c r="E15" t="s">
        <v>52</v>
      </c>
    </row>
    <row r="16" spans="1:6">
      <c r="A16">
        <v>2025</v>
      </c>
      <c r="B16" t="s">
        <v>64</v>
      </c>
      <c r="C16" t="s">
        <v>55</v>
      </c>
      <c r="D16">
        <v>122</v>
      </c>
      <c r="E16" t="s">
        <v>56</v>
      </c>
    </row>
    <row r="17" spans="1:5">
      <c r="A17">
        <v>2025</v>
      </c>
      <c r="B17" t="s">
        <v>64</v>
      </c>
      <c r="C17" t="s">
        <v>57</v>
      </c>
      <c r="D17">
        <v>121</v>
      </c>
      <c r="E17"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Samuel Pettersson</dc:creator>
  <cp:keywords/>
  <dc:description/>
  <cp:lastModifiedBy>Samuel Pettersson</cp:lastModifiedBy>
  <cp:revision/>
  <dcterms:created xsi:type="dcterms:W3CDTF">2026-09-18T08:13:25Z</dcterms:created>
  <dcterms:modified xsi:type="dcterms:W3CDTF">2026-09-25T12:48:59Z</dcterms:modified>
  <cp:category/>
  <cp:contentStatus/>
</cp:coreProperties>
</file>